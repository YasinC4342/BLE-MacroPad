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tres\Projects KiCAD\Mechanical-Macro-KeyPad\MacroPadv2\components\"/>
    </mc:Choice>
  </mc:AlternateContent>
  <xr:revisionPtr revIDLastSave="0" documentId="13_ncr:1_{4AF58993-DAB4-40E9-AF6A-E36D677FFB63}" xr6:coauthVersionLast="47" xr6:coauthVersionMax="47" xr10:uidLastSave="{00000000-0000-0000-0000-000000000000}"/>
  <bookViews>
    <workbookView xWindow="-120" yWindow="-120" windowWidth="29040" windowHeight="15720" xr2:uid="{8993CEA8-ECC9-4DAA-BDDE-B9DAB5A64F9B}"/>
  </bookViews>
  <sheets>
    <sheet name="Mechanical-Macro-KeyP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<sst xmlns="http://schemas.openxmlformats.org/spreadsheetml/2006/main" count="80" uniqueCount="72">
  <si>
    <t>C1, C2, C3, C4, C5, C6, C7, C8, C9, C10, C11, C12</t>
  </si>
  <si>
    <t>C_0805_2012Metric_Pad1.18x1.45mm_HandSolder</t>
  </si>
  <si>
    <t>C13</t>
  </si>
  <si>
    <t>C14</t>
  </si>
  <si>
    <t>CP_EIA-3216-18_Kemet-A_HandSolder</t>
  </si>
  <si>
    <t>C15</t>
  </si>
  <si>
    <t>D1, D2, D3, D4, D5, D6, D7, D8, D9, D10, D11, D12</t>
  </si>
  <si>
    <t>MX_SK6812MINI-E</t>
  </si>
  <si>
    <t>SK6812</t>
  </si>
  <si>
    <t>D13</t>
  </si>
  <si>
    <t>D_1206_3216Metric</t>
  </si>
  <si>
    <t>J1</t>
  </si>
  <si>
    <t>USB_C_Receptacle_Palconn_UTC16-G</t>
  </si>
  <si>
    <t>R_1206_3216Metric_Pad1.30x1.75mm_HandSolder</t>
  </si>
  <si>
    <t>R2, R3, R5, R6</t>
  </si>
  <si>
    <t>5.1K</t>
  </si>
  <si>
    <t>R4</t>
  </si>
  <si>
    <t>10K</t>
  </si>
  <si>
    <t>R7</t>
  </si>
  <si>
    <t>S1, S2, S3, S4, S5, S6, S7, S8, S9, S10, S11, S12</t>
  </si>
  <si>
    <t>SW_Cherry_MX_1.00u_PCB</t>
  </si>
  <si>
    <t>S13</t>
  </si>
  <si>
    <t>XDCR_PEC12R-4217F-S0024</t>
  </si>
  <si>
    <t>SW1</t>
  </si>
  <si>
    <t>SW_Slide_SPDT_Angled_CK_OS102011MA1Q</t>
  </si>
  <si>
    <t>SW2</t>
  </si>
  <si>
    <t>SW_PUSH_1P1T_6x3.5mm_H5.0_APEM_MJTP1250</t>
  </si>
  <si>
    <t>SW_Push</t>
  </si>
  <si>
    <t>U1</t>
  </si>
  <si>
    <t>U2</t>
  </si>
  <si>
    <t>MODULE_DM-OLED096-636</t>
  </si>
  <si>
    <t>U3</t>
  </si>
  <si>
    <t>SOT-223-3_TabPin2</t>
  </si>
  <si>
    <t>AMS1117-3.3</t>
  </si>
  <si>
    <t>MX1A-11NA</t>
  </si>
  <si>
    <t>ID</t>
  </si>
  <si>
    <t>Designation</t>
  </si>
  <si>
    <t>Quantity</t>
  </si>
  <si>
    <t>Reference</t>
  </si>
  <si>
    <t>Footprint</t>
  </si>
  <si>
    <t>R9</t>
  </si>
  <si>
    <t>R_2010_5025Metric_Pad1.40x2.65mm_HandSolder</t>
  </si>
  <si>
    <t>0R</t>
  </si>
  <si>
    <t>SW_SPDT</t>
  </si>
  <si>
    <t>PEC12R_Encoder</t>
  </si>
  <si>
    <t>USB_C_female_14P</t>
  </si>
  <si>
    <t>0,96" OLED Module</t>
  </si>
  <si>
    <t>Diode</t>
  </si>
  <si>
    <t>470R</t>
  </si>
  <si>
    <t>1.8K</t>
  </si>
  <si>
    <t>R1</t>
  </si>
  <si>
    <t>ESP32-S3-WROOM-1</t>
  </si>
  <si>
    <t>Links</t>
  </si>
  <si>
    <t>https://www.aliexpress.com/item/1005009314619102.html?spm=a2g0o.cart.0.0.49d538daiCbZka&amp;mp=1&amp;pdp_npi=6%40dis%21EUR%21EUR%203.77%21EUR%203.39%21%21EUR%203.39%21%21%21%400b15834017924999145227292e0d64%2112000048716802392%21ct%21FR%214218883440%21%211%210%21</t>
  </si>
  <si>
    <t>https://www.aliexpress.com/item/1005012588693858.html?spm=a2g0o.cart.0.0.49d538daiCbZka&amp;mp=1&amp;pdp_npi=6%40dis%21EUR%21EUR%207.19%21EUR%203.59%21%21EUR%203.59%21%21%21%400b15834017924999145227292e0d64%2112000058767763112%21ct%21FR%214218883440%21%211%210%21</t>
  </si>
  <si>
    <t>https://www.aliexpress.com/item/1005008089864080.html?spm=a2g0o.cart.0.0.49d538daiCbZka&amp;mp=1&amp;pdp_npi=6%40dis%21EUR%21EUR%202.65%21EUR%202.65%21%21EUR%202.65%21%21%21%400b15834017924999145227292e0d64%2112000045838677521%21ct%21FR%214218883440%21%212%210%21</t>
  </si>
  <si>
    <t>https://www.aliexpress.com/item/1005005186515165.html?spm=a2g0o.cart.0.0.49d538daiCbZka&amp;mp=1&amp;pdp_npi=6%40dis%21EUR%21EUR%204.39%21EUR%204.39%21%21EUR%204.39%21%21%21%400b15834017924999145227292e0d64%2112000032026120161%21ct%21FR%214218883440%21%211%210%21</t>
  </si>
  <si>
    <t>https://www.aliexpress.com/item/1005012304341288.html?spm=a2g0o.cart.0.0.49d538daiCbZka&amp;mp=1&amp;pdp_npi=6%40dis%21EUR%21EUR%207.56%21EUR%203.79%21%21EUR%203.79%21%21%21%400b15834017924999145227292e0d64%2112000058017651589%21ct%21FR%214218883440%21%211%210%21</t>
  </si>
  <si>
    <t>https://www.aliexpress.com/item/1005005371954812.html?spm=a2g0o.cart.0.0.10c238daxwhGx7&amp;mp=1&amp;pdp_npi=6%40dis%21EUR%21EUR%202.18%21EUR%202.18%21%21EUR%202.18%21%21%21%400b88abba17925006340776757e0ce6%2112000032786473720%21ct%21FR%214218883440%21%211%210%21</t>
  </si>
  <si>
    <t>https://www.aliexpress.com/item/1005007391341287.html?spm=a2g0o.cart.0.0.10c238daxwhGx7&amp;mp=1&amp;pdp_npi=6%40dis%21EUR%21EUR%2011.61%21EUR%203.99%21%21EUR%203.99%21%21%21%400b88abba17925006340776757e0ce6%2112000040556905956%21ct%21FR%214218883440%21%211%210%21</t>
  </si>
  <si>
    <t>https://www.aliexpress.com/item/1005007177692594.html?spm=a2g0o.cart.0.0.10c238daxwhGx7&amp;mp=1&amp;pdp_npi=6%40dis%21EUR%21EUR%203.59%21EUR%203.59%21%21EUR%203.59%21%21%21%400b88abba17925006340776757e0ce6%2112000039712603252%21ct%21FR%214218883440%21%211%210%21</t>
  </si>
  <si>
    <t>https://www.aliexpress.com/item/1005006141235306.html?spm=a2g0o.cart.0.0.10c238daxwhGx7&amp;mp=1&amp;pdp_npi=6%40dis%21EUR%21EUR%202.56%21EUR%202.56%21%21EUR%202.56%21%21%21%400b88abba17925006340776757e0ce6%2112000035944225407%21ct%21FR%214218883440%21%211%210%21</t>
  </si>
  <si>
    <t>https://www.aliexpress.com/item/1005007500541919.html?spm=a2g0o.cart.0.0.5f4c38dagRCLxs&amp;mp=1&amp;pdp_npi=6%40dis%21EUR%21EUR%201.42%21EUR%201.42%21%21EUR%201.42%21%21%21%400b88abba17925010044955313e0ce6%2112000041039183878%21ct%21FR%214218883440%21%211%210%21&amp;pdp_ext_f=%7B%22cart2PdpParams%22%3A%7B%22pdpBusinessMode%22%3A%22retail%22%7D%7D</t>
  </si>
  <si>
    <t>https://www.aliexpress.com/item/32698733093.html?spm=a2g0o.cart.0.0.5f4c38dagRCLxs&amp;mp=1&amp;pdp_npi=6%40dis%21EUR%21EUR%201.32%21EUR%201.32%21%21EUR%201.32%21%21%21%400b88abba17925010044955313e0ce6%2110000000254411173%21ct%21FR%214218883440%21%211%210%21</t>
  </si>
  <si>
    <t>https://www.aliexpress.com/item/32698733093.html?spm=a2g0o.cart.0.0.5f4c38dagRCLxs&amp;mp=1&amp;pdp_npi=6%40dis%21EUR%21EUR%201.59%21EUR%201.59%21%21EUR%201.59%21%21%21%400b88abba17925010044955313e0ce6%2110000000254411174%21ct%21FR%214218883440%21%211%210%21</t>
  </si>
  <si>
    <t>0 euro = already have components</t>
  </si>
  <si>
    <t>TOTAL Euro</t>
  </si>
  <si>
    <t>Price Euro</t>
  </si>
  <si>
    <t>PCB : 3,57 euro</t>
  </si>
  <si>
    <t>0.1uF</t>
  </si>
  <si>
    <t>10uF</t>
  </si>
  <si>
    <t>22uF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</si>
</sst>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3" fillId="33" borderId="0" xfId="0" applyFont="1" applyFill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9" fillId="0" borderId="26" xfId="43" applyBorder="1" applyAlignment="1">
      <alignment horizontal="center" vertical="center" wrapText="1"/>
    </xf>
    <xf numFmtId="0" fontId="19" fillId="0" borderId="12" xfId="43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  <xf numFmtId="0" fontId="19" fillId="0" borderId="15" xfId="43" applyBorder="1" applyAlignment="1">
      <alignment horizontal="center" vertical="center" wrapText="1"/>
    </xf>
    <xf numFmtId="0" fontId="19" fillId="35" borderId="12" xfId="43" applyFill="1" applyBorder="1" applyAlignment="1">
      <alignment vertical="center" wrapText="1"/>
    </xf>
    <xf numFmtId="0" fontId="19" fillId="35" borderId="29" xfId="43" applyFill="1" applyBorder="1" applyAlignment="1">
      <alignment vertical="center" wrapText="1"/>
    </xf>
    <xf numFmtId="0" fontId="13" fillId="33" borderId="22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27" xfId="43" applyBorder="1" applyAlignment="1">
      <alignment horizontal="center" vertical="center" wrapText="1"/>
    </xf>
    <xf numFmtId="0" fontId="19" fillId="0" borderId="28" xfId="43" applyBorder="1" applyAlignment="1">
      <alignment horizontal="center" vertical="center" wrapText="1"/>
    </xf>
    <xf numFmtId="0" fontId="19" fillId="0" borderId="16" xfId="43" applyBorder="1" applyAlignment="1">
      <alignment horizontal="center" vertical="center" wrapText="1"/>
    </xf>
    <xf numFmtId="0" fontId="13" fillId="33" borderId="0" xfId="42" applyNumberFormat="1" applyFont="1" applyFill="1" applyBorder="1" applyAlignment="1">
      <alignment horizontal="center" vertical="center" wrapText="1"/>
    </xf>
    <xf numFmtId="0" fontId="0" fillId="0" borderId="25" xfId="42" applyNumberFormat="1" applyFont="1" applyBorder="1" applyAlignment="1">
      <alignment horizontal="center" vertical="center" wrapText="1"/>
    </xf>
    <xf numFmtId="0" fontId="0" fillId="0" borderId="10" xfId="42" applyNumberFormat="1" applyFont="1" applyBorder="1" applyAlignment="1">
      <alignment horizontal="center" vertical="center" wrapText="1"/>
    </xf>
    <xf numFmtId="0" fontId="0" fillId="35" borderId="10" xfId="42" applyNumberFormat="1" applyFont="1" applyFill="1" applyBorder="1" applyAlignment="1">
      <alignment horizontal="center" vertical="center" wrapText="1"/>
    </xf>
    <xf numFmtId="0" fontId="0" fillId="0" borderId="14" xfId="42" applyNumberFormat="1" applyFont="1" applyBorder="1" applyAlignment="1">
      <alignment horizontal="center" vertical="center"/>
    </xf>
    <xf numFmtId="0" fontId="0" fillId="0" borderId="0" xfId="42" applyNumberFormat="1" applyFont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3" builtinId="8"/>
    <cellStyle name="Monétaire" xfId="42" builtinId="4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391341287.html?spm=a2g0o.cart.0.0.10c238daxwhGx7&amp;mp=1&amp;pdp_npi=6%40dis%21EUR%21EUR%2011.61%21EUR%203.99%21%21EUR%203.99%21%21%21%400b88abba17925006340776757e0ce6%2112000040556905956%21ct%21FR%214218883440%21%211%210%21" TargetMode="External"/><Relationship Id="rId13" Type="http://schemas.openxmlformats.org/officeDocument/2006/relationships/hyperlink" Target="https://www.aliexpress.com/item/32698733093.html?spm=a2g0o.cart.0.0.5f4c38dagRCLxs&amp;mp=1&amp;pdp_npi=6%40dis%21EUR%21EUR%201.59%21EUR%201.59%21%21EUR%201.59%21%21%21%400b88abba17925010044955313e0ce6%2110000000254411174%21ct%21FR%214218883440%21%211%210%21" TargetMode="External"/><Relationship Id="rId3" Type="http://schemas.openxmlformats.org/officeDocument/2006/relationships/hyperlink" Target="https://www.aliexpress.com/item/1005009314619102.html?spm=a2g0o.cart.0.0.49d538daiCbZka&amp;mp=1&amp;pdp_npi=6%40dis%21EUR%21EUR%203.77%21EUR%203.39%21%21EUR%203.39%21%21%21%400b15834017924999145227292e0d64%2112000048716802392%21ct%21FR%214218883440%21%211%210%21" TargetMode="External"/><Relationship Id="rId7" Type="http://schemas.openxmlformats.org/officeDocument/2006/relationships/hyperlink" Target="https://www.aliexpress.com/item/1005005371954812.html?spm=a2g0o.cart.0.0.10c238daxwhGx7&amp;mp=1&amp;pdp_npi=6%40dis%21EUR%21EUR%202.18%21EUR%202.18%21%21EUR%202.18%21%21%21%400b88abba17925006340776757e0ce6%2112000032786473720%21ct%21FR%214218883440%21%211%210%21" TargetMode="External"/><Relationship Id="rId12" Type="http://schemas.openxmlformats.org/officeDocument/2006/relationships/hyperlink" Target="https://www.aliexpress.com/item/32698733093.html?spm=a2g0o.cart.0.0.5f4c38dagRCLxs&amp;mp=1&amp;pdp_npi=6%40dis%21EUR%21EUR%201.32%21EUR%201.32%21%21EUR%201.32%21%21%21%400b88abba17925010044955313e0ce6%2110000000254411173%21ct%21FR%214218883440%21%211%210%21" TargetMode="External"/><Relationship Id="rId2" Type="http://schemas.openxmlformats.org/officeDocument/2006/relationships/hyperlink" Target="https://www.aliexpress.com/item/1005012588693858.html?spm=a2g0o.cart.0.0.49d538daiCbZka&amp;mp=1&amp;pdp_npi=6%40dis%21EUR%21EUR%207.19%21EUR%203.59%21%21EUR%203.59%21%21%21%400b15834017924999145227292e0d64%2112000058767763112%21ct%21FR%214218883440%21%211%210%21" TargetMode="External"/><Relationship Id="rId1" Type="http://schemas.openxmlformats.org/officeDocument/2006/relationships/hyperlink" Target="https://www.aliexpress.com/item/1005012588693858.html?spm=a2g0o.cart.0.0.49d538daiCbZka&amp;mp=1&amp;pdp_npi=6%40dis%21EUR%21EUR%207.19%21EUR%203.59%21%21EUR%203.59%21%21%21%400b15834017924999145227292e0d64%2112000058767763112%21ct%21FR%214218883440%21%211%210%21" TargetMode="External"/><Relationship Id="rId6" Type="http://schemas.openxmlformats.org/officeDocument/2006/relationships/hyperlink" Target="https://www.aliexpress.com/item/1005012304341288.html?spm=a2g0o.cart.0.0.49d538daiCbZka&amp;mp=1&amp;pdp_npi=6%40dis%21EUR%21EUR%207.56%21EUR%203.79%21%21EUR%203.79%21%21%21%400b15834017924999145227292e0d64%2112000058017651589%21ct%21FR%214218883440%21%211%210%21" TargetMode="External"/><Relationship Id="rId11" Type="http://schemas.openxmlformats.org/officeDocument/2006/relationships/hyperlink" Target="https://www.aliexpress.com/item/1005007500541919.html?spm=a2g0o.cart.0.0.5f4c38dagRCLxs&amp;mp=1&amp;pdp_npi=6%40dis%21EUR%21EUR%201.42%21EUR%201.42%21%21EUR%201.42%21%21%21%400b88abba17925010044955313e0ce6%2112000041039183878%21ct%21FR%214218883440%21%211%210%21&amp;pdp_ext_f=%7B%22cart2PdpParams%22%3A%7B%22pdpBusinessMode%22%3A%22retail%22%7D%7D" TargetMode="External"/><Relationship Id="rId5" Type="http://schemas.openxmlformats.org/officeDocument/2006/relationships/hyperlink" Target="https://www.aliexpress.com/item/1005005186515165.html?spm=a2g0o.cart.0.0.49d538daiCbZka&amp;mp=1&amp;pdp_npi=6%40dis%21EUR%21EUR%204.39%21EUR%204.39%21%21EUR%204.39%21%21%21%400b15834017924999145227292e0d64%2112000032026120161%21ct%21FR%214218883440%21%211%210%21" TargetMode="External"/><Relationship Id="rId10" Type="http://schemas.openxmlformats.org/officeDocument/2006/relationships/hyperlink" Target="https://www.aliexpress.com/item/1005006141235306.html?spm=a2g0o.cart.0.0.10c238daxwhGx7&amp;mp=1&amp;pdp_npi=6%40dis%21EUR%21EUR%202.56%21EUR%202.56%21%21EUR%202.56%21%21%21%400b88abba17925006340776757e0ce6%2112000035944225407%21ct%21FR%214218883440%21%211%210%21" TargetMode="External"/><Relationship Id="rId4" Type="http://schemas.openxmlformats.org/officeDocument/2006/relationships/hyperlink" Target="https://www.aliexpress.com/item/1005008089864080.html?spm=a2g0o.cart.0.0.49d538daiCbZka&amp;mp=1&amp;pdp_npi=6%40dis%21EUR%21EUR%202.65%21EUR%202.65%21%21EUR%202.65%21%21%21%400b15834017924999145227292e0d64%2112000045838677521%21ct%21FR%214218883440%21%212%210%21" TargetMode="External"/><Relationship Id="rId9" Type="http://schemas.openxmlformats.org/officeDocument/2006/relationships/hyperlink" Target="https://www.aliexpress.com/item/1005007177692594.html?spm=a2g0o.cart.0.0.10c238daxwhGx7&amp;mp=1&amp;pdp_npi=6%40dis%21EUR%21EUR%203.59%21EUR%203.59%21%21EUR%203.59%21%21%21%400b88abba17925006340776757e0ce6%2112000039712603252%21ct%21FR%214218883440%21%211%210%21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C314-8C17-4192-BBDD-88E7F14455A0}">
  <dimension ref="A1:I20"/>
  <sheetViews>
    <sheetView tabSelected="1" zoomScale="85" zoomScaleNormal="85" workbookViewId="0">
      <selection activeCell="E16" sqref="E16"/>
    </sheetView>
  </sheetViews>
  <sheetFormatPr baseColWidth="10" defaultRowHeight="30" customHeight="1" x14ac:dyDescent="0.25"/>
  <cols>
    <col min="1" max="1" width="8.7109375" customWidth="1"/>
    <col min="2" max="2" width="25.7109375" customWidth="1"/>
    <col min="3" max="3" width="50.7109375" customWidth="1"/>
    <col min="4" max="4" width="9.7109375" customWidth="1"/>
    <col min="5" max="5" width="25.7109375" customWidth="1"/>
    <col min="6" max="6" width="17.7109375" style="30" customWidth="1"/>
    <col min="7" max="7" width="49.5703125" customWidth="1"/>
  </cols>
  <sheetData>
    <row r="1" spans="1:9" ht="20.100000000000001" customHeight="1" thickBot="1" x14ac:dyDescent="0.3">
      <c r="A1" s="6" t="s">
        <v>35</v>
      </c>
      <c r="B1" s="6" t="s">
        <v>38</v>
      </c>
      <c r="C1" s="6" t="s">
        <v>39</v>
      </c>
      <c r="D1" s="6" t="s">
        <v>37</v>
      </c>
      <c r="E1" s="6" t="s">
        <v>36</v>
      </c>
      <c r="F1" s="25" t="s">
        <v>67</v>
      </c>
      <c r="G1" s="6" t="s">
        <v>52</v>
      </c>
      <c r="H1" s="15" t="s">
        <v>66</v>
      </c>
      <c r="I1" s="15"/>
    </row>
    <row r="2" spans="1:9" ht="30" customHeight="1" thickBot="1" x14ac:dyDescent="0.3">
      <c r="A2" s="7">
        <v>1</v>
      </c>
      <c r="B2" s="8" t="s">
        <v>0</v>
      </c>
      <c r="C2" s="8" t="s">
        <v>1</v>
      </c>
      <c r="D2" s="8">
        <v>12</v>
      </c>
      <c r="E2" s="8" t="s">
        <v>69</v>
      </c>
      <c r="F2" s="26">
        <v>1.7949999999999999</v>
      </c>
      <c r="G2" s="9" t="s">
        <v>54</v>
      </c>
      <c r="H2" s="31">
        <f>SUM(F2:F20)</f>
        <v>40.31</v>
      </c>
      <c r="I2" s="32"/>
    </row>
    <row r="3" spans="1:9" ht="30" customHeight="1" x14ac:dyDescent="0.25">
      <c r="A3" s="2">
        <v>2</v>
      </c>
      <c r="B3" s="1" t="s">
        <v>2</v>
      </c>
      <c r="C3" s="1" t="s">
        <v>1</v>
      </c>
      <c r="D3" s="1">
        <v>1</v>
      </c>
      <c r="E3" s="1" t="s">
        <v>70</v>
      </c>
      <c r="F3" s="27">
        <v>1.7949999999999999</v>
      </c>
      <c r="G3" s="10" t="s">
        <v>54</v>
      </c>
      <c r="H3" s="16" t="s">
        <v>65</v>
      </c>
      <c r="I3" s="17"/>
    </row>
    <row r="4" spans="1:9" ht="30" customHeight="1" thickBot="1" x14ac:dyDescent="0.3">
      <c r="A4" s="2">
        <v>3</v>
      </c>
      <c r="B4" s="1" t="s">
        <v>3</v>
      </c>
      <c r="C4" s="1" t="s">
        <v>4</v>
      </c>
      <c r="D4" s="1">
        <v>1</v>
      </c>
      <c r="E4" s="1" t="s">
        <v>70</v>
      </c>
      <c r="F4" s="28">
        <v>1.32</v>
      </c>
      <c r="G4" s="13" t="s">
        <v>63</v>
      </c>
      <c r="H4" s="18"/>
      <c r="I4" s="19"/>
    </row>
    <row r="5" spans="1:9" ht="30" customHeight="1" thickBot="1" x14ac:dyDescent="0.3">
      <c r="A5" s="2">
        <v>4</v>
      </c>
      <c r="B5" s="1" t="s">
        <v>5</v>
      </c>
      <c r="C5" s="1" t="s">
        <v>4</v>
      </c>
      <c r="D5" s="1">
        <v>1</v>
      </c>
      <c r="E5" s="1" t="s">
        <v>71</v>
      </c>
      <c r="F5" s="28">
        <v>1.59</v>
      </c>
      <c r="G5" s="14" t="s">
        <v>64</v>
      </c>
      <c r="H5" s="20" t="s">
        <v>68</v>
      </c>
      <c r="I5" s="21"/>
    </row>
    <row r="6" spans="1:9" ht="30" customHeight="1" x14ac:dyDescent="0.25">
      <c r="A6" s="2">
        <v>5</v>
      </c>
      <c r="B6" s="1" t="s">
        <v>6</v>
      </c>
      <c r="C6" s="1" t="s">
        <v>7</v>
      </c>
      <c r="D6" s="1">
        <v>12</v>
      </c>
      <c r="E6" s="1" t="s">
        <v>8</v>
      </c>
      <c r="F6" s="27">
        <v>4.3899999999999997</v>
      </c>
      <c r="G6" s="10" t="s">
        <v>56</v>
      </c>
    </row>
    <row r="7" spans="1:9" ht="30" customHeight="1" x14ac:dyDescent="0.25">
      <c r="A7" s="2">
        <v>6</v>
      </c>
      <c r="B7" s="1" t="s">
        <v>9</v>
      </c>
      <c r="C7" s="1" t="s">
        <v>10</v>
      </c>
      <c r="D7" s="1">
        <v>1</v>
      </c>
      <c r="E7" s="1" t="s">
        <v>47</v>
      </c>
      <c r="F7" s="27">
        <v>0</v>
      </c>
      <c r="G7" s="11"/>
    </row>
    <row r="8" spans="1:9" ht="30" customHeight="1" x14ac:dyDescent="0.25">
      <c r="A8" s="2">
        <v>7</v>
      </c>
      <c r="B8" s="1" t="s">
        <v>11</v>
      </c>
      <c r="C8" s="1" t="s">
        <v>12</v>
      </c>
      <c r="D8" s="1">
        <v>1</v>
      </c>
      <c r="E8" s="1" t="s">
        <v>45</v>
      </c>
      <c r="F8" s="27">
        <v>2.1800000000000002</v>
      </c>
      <c r="G8" s="10" t="s">
        <v>58</v>
      </c>
    </row>
    <row r="9" spans="1:9" ht="30" customHeight="1" x14ac:dyDescent="0.25">
      <c r="A9" s="2">
        <v>8</v>
      </c>
      <c r="B9" s="1" t="s">
        <v>50</v>
      </c>
      <c r="C9" s="1" t="s">
        <v>13</v>
      </c>
      <c r="D9" s="1">
        <v>1</v>
      </c>
      <c r="E9" s="1" t="s">
        <v>48</v>
      </c>
      <c r="F9" s="27">
        <v>0.94750000000000001</v>
      </c>
      <c r="G9" s="22" t="s">
        <v>57</v>
      </c>
    </row>
    <row r="10" spans="1:9" ht="30" customHeight="1" x14ac:dyDescent="0.25">
      <c r="A10" s="2">
        <v>9</v>
      </c>
      <c r="B10" s="1" t="s">
        <v>14</v>
      </c>
      <c r="C10" s="1" t="s">
        <v>13</v>
      </c>
      <c r="D10" s="1">
        <v>4</v>
      </c>
      <c r="E10" s="1" t="s">
        <v>15</v>
      </c>
      <c r="F10" s="27">
        <v>0.94750000000000001</v>
      </c>
      <c r="G10" s="23"/>
    </row>
    <row r="11" spans="1:9" ht="30" customHeight="1" x14ac:dyDescent="0.25">
      <c r="A11" s="2">
        <v>10</v>
      </c>
      <c r="B11" s="1" t="s">
        <v>16</v>
      </c>
      <c r="C11" s="1" t="s">
        <v>13</v>
      </c>
      <c r="D11" s="1">
        <v>1</v>
      </c>
      <c r="E11" s="1" t="s">
        <v>17</v>
      </c>
      <c r="F11" s="27">
        <v>0.94750000000000001</v>
      </c>
      <c r="G11" s="23"/>
    </row>
    <row r="12" spans="1:9" ht="30" customHeight="1" x14ac:dyDescent="0.25">
      <c r="A12" s="2">
        <v>11</v>
      </c>
      <c r="B12" s="1" t="s">
        <v>18</v>
      </c>
      <c r="C12" s="1" t="s">
        <v>13</v>
      </c>
      <c r="D12" s="1">
        <v>1</v>
      </c>
      <c r="E12" s="1" t="s">
        <v>49</v>
      </c>
      <c r="F12" s="27">
        <v>0.94750000000000001</v>
      </c>
      <c r="G12" s="24"/>
    </row>
    <row r="13" spans="1:9" ht="30" customHeight="1" x14ac:dyDescent="0.25">
      <c r="A13" s="2">
        <v>12</v>
      </c>
      <c r="B13" s="1" t="s">
        <v>40</v>
      </c>
      <c r="C13" s="4" t="s">
        <v>41</v>
      </c>
      <c r="D13" s="4">
        <v>1</v>
      </c>
      <c r="E13" s="4" t="s">
        <v>42</v>
      </c>
      <c r="F13" s="27">
        <v>0</v>
      </c>
      <c r="G13" s="11"/>
    </row>
    <row r="14" spans="1:9" ht="30" customHeight="1" x14ac:dyDescent="0.25">
      <c r="A14" s="2">
        <v>13</v>
      </c>
      <c r="B14" s="1" t="s">
        <v>19</v>
      </c>
      <c r="C14" s="1" t="s">
        <v>20</v>
      </c>
      <c r="D14" s="1">
        <v>12</v>
      </c>
      <c r="E14" s="1" t="s">
        <v>34</v>
      </c>
      <c r="F14" s="27">
        <v>5.3</v>
      </c>
      <c r="G14" s="10" t="s">
        <v>55</v>
      </c>
    </row>
    <row r="15" spans="1:9" ht="30" customHeight="1" x14ac:dyDescent="0.25">
      <c r="A15" s="2">
        <v>14</v>
      </c>
      <c r="B15" s="1" t="s">
        <v>21</v>
      </c>
      <c r="C15" s="1" t="s">
        <v>22</v>
      </c>
      <c r="D15" s="1">
        <v>1</v>
      </c>
      <c r="E15" s="1" t="s">
        <v>44</v>
      </c>
      <c r="F15" s="27">
        <v>3.99</v>
      </c>
      <c r="G15" s="10" t="s">
        <v>59</v>
      </c>
    </row>
    <row r="16" spans="1:9" ht="30" customHeight="1" x14ac:dyDescent="0.25">
      <c r="A16" s="2">
        <v>15</v>
      </c>
      <c r="B16" s="1" t="s">
        <v>23</v>
      </c>
      <c r="C16" s="1" t="s">
        <v>24</v>
      </c>
      <c r="D16" s="1">
        <v>1</v>
      </c>
      <c r="E16" s="1" t="s">
        <v>43</v>
      </c>
      <c r="F16" s="27">
        <v>0</v>
      </c>
      <c r="G16" s="11"/>
    </row>
    <row r="17" spans="1:7" ht="30" customHeight="1" x14ac:dyDescent="0.25">
      <c r="A17" s="2">
        <v>16</v>
      </c>
      <c r="B17" s="1" t="s">
        <v>25</v>
      </c>
      <c r="C17" s="1" t="s">
        <v>26</v>
      </c>
      <c r="D17" s="1">
        <v>1</v>
      </c>
      <c r="E17" s="1" t="s">
        <v>27</v>
      </c>
      <c r="F17" s="27">
        <v>3.59</v>
      </c>
      <c r="G17" s="10" t="s">
        <v>60</v>
      </c>
    </row>
    <row r="18" spans="1:7" ht="30" customHeight="1" x14ac:dyDescent="0.25">
      <c r="A18" s="2">
        <v>17</v>
      </c>
      <c r="B18" s="1" t="s">
        <v>28</v>
      </c>
      <c r="C18" s="1" t="s">
        <v>51</v>
      </c>
      <c r="D18" s="1">
        <v>1</v>
      </c>
      <c r="E18" s="1" t="s">
        <v>51</v>
      </c>
      <c r="F18" s="27">
        <v>6.59</v>
      </c>
      <c r="G18" s="10" t="s">
        <v>53</v>
      </c>
    </row>
    <row r="19" spans="1:7" ht="30" customHeight="1" x14ac:dyDescent="0.25">
      <c r="A19" s="2">
        <v>18</v>
      </c>
      <c r="B19" s="1" t="s">
        <v>29</v>
      </c>
      <c r="C19" s="1" t="s">
        <v>30</v>
      </c>
      <c r="D19" s="1">
        <v>1</v>
      </c>
      <c r="E19" s="1" t="s">
        <v>46</v>
      </c>
      <c r="F19" s="27">
        <v>2.56</v>
      </c>
      <c r="G19" s="10" t="s">
        <v>61</v>
      </c>
    </row>
    <row r="20" spans="1:7" ht="30" customHeight="1" thickBot="1" x14ac:dyDescent="0.3">
      <c r="A20" s="5">
        <v>19</v>
      </c>
      <c r="B20" s="3" t="s">
        <v>31</v>
      </c>
      <c r="C20" s="3" t="s">
        <v>32</v>
      </c>
      <c r="D20" s="3">
        <v>1</v>
      </c>
      <c r="E20" s="3" t="s">
        <v>33</v>
      </c>
      <c r="F20" s="29">
        <v>1.42</v>
      </c>
      <c r="G20" s="12" t="s">
        <v>62</v>
      </c>
    </row>
  </sheetData>
  <mergeCells count="5">
    <mergeCell ref="H1:I1"/>
    <mergeCell ref="H2:I2"/>
    <mergeCell ref="H3:I4"/>
    <mergeCell ref="H5:I5"/>
    <mergeCell ref="G9:G12"/>
  </mergeCells>
  <phoneticPr fontId="20" type="noConversion"/>
  <hyperlinks>
    <hyperlink ref="G2" r:id="rId1" xr:uid="{51ED6E68-2877-4A23-960C-172F75DC5ABE}"/>
    <hyperlink ref="G3" r:id="rId2" xr:uid="{A6DE342A-945C-482E-AD5B-9C865770E093}"/>
    <hyperlink ref="G18" r:id="rId3" xr:uid="{65BC90B4-5238-4B89-8E50-7FE2DFF5F0A0}"/>
    <hyperlink ref="G14" r:id="rId4" xr:uid="{265037F7-7FA0-46EE-B3D4-997A06BC0F61}"/>
    <hyperlink ref="G6" r:id="rId5" xr:uid="{2B779E0F-ADD5-49C2-9B8C-1E9CDCC7DF31}"/>
    <hyperlink ref="G9" r:id="rId6" xr:uid="{3B3875BE-CFAB-4BDB-87E6-BB46E10404F9}"/>
    <hyperlink ref="G8" r:id="rId7" xr:uid="{842F9EFF-AFA6-4C36-907E-5C26304C580F}"/>
    <hyperlink ref="G15" r:id="rId8" display="https://www.aliexpress.com/item/1005007391341287.html?spm=a2g0o.cart.0.0.10c238daxwhGx7&amp;mp=1&amp;pdp_npi=6%40dis%21EUR%21EUR%2011.61%21EUR%203.99%21%21EUR%203.99%21%21%21%400b88abba17925006340776757e0ce6%2112000040556905956%21ct%21FR%214218883440%21%211%210%21" xr:uid="{92B1C485-0AAD-435C-8397-D4F1CB93D247}"/>
    <hyperlink ref="G17" r:id="rId9" xr:uid="{0FA6EBF0-009B-457B-8467-60A39DB42E83}"/>
    <hyperlink ref="G19" r:id="rId10" xr:uid="{79D23803-1973-4840-AFD4-A6D33211ECFF}"/>
    <hyperlink ref="G20" r:id="rId11" display="https://www.aliexpress.com/item/1005007500541919.html?spm=a2g0o.cart.0.0.5f4c38dagRCLxs&amp;mp=1&amp;pdp_npi=6%40dis%21EUR%21EUR%201.42%21EUR%201.42%21%21EUR%201.42%21%21%21%400b88abba17925010044955313e0ce6%2112000041039183878%21ct%21FR%214218883440%21%211%210%21&amp;pdp_ext_f=%7B%22cart2PdpParams%22%3A%7B%22pdpBusinessMode%22%3A%22retail%22%7D%7D" xr:uid="{D9EEFCE1-26C0-4F6B-9987-ED5312E1D2DD}"/>
    <hyperlink ref="G4" r:id="rId12" xr:uid="{CDACBCCE-75F3-463D-AAC1-911873DCE7AD}"/>
    <hyperlink ref="G5" r:id="rId13" xr:uid="{F6573D85-91FF-480B-9214-AAF1F3D1E847}"/>
  </hyperlinks>
  <pageMargins left="0.7" right="0.7" top="0.75" bottom="0.75" header="0.3" footer="0.3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Mechanical-Macro-KeyPad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Yasin CINAR</cp:lastModifiedBy>
  <dcterms:created xsi:type="dcterms:W3CDTF">2026-10-10T15:14:12Z</dcterms:created>
  <dcterms:modified xsi:type="dcterms:W3CDTF">2026-10-20T13:08:48Z</dcterms:modified>
</cp:coreProperties>
</file>